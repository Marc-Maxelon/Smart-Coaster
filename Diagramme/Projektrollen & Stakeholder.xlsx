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https://fhd.sharepoint.com/teams/SmartSystems2-Bierdeckel/Freigegebene Dokumente/Getränkeuntersetzter/"/>
    </mc:Choice>
  </mc:AlternateContent>
  <xr:revisionPtr revIDLastSave="228" documentId="11_F2ACA9B44D80737BC93E90C2FDC029E734ED7847" xr6:coauthVersionLast="47" xr6:coauthVersionMax="47" xr10:uidLastSave="{4BBCF234-55E7-4D3F-B5DB-ED45C5D9AE91}"/>
  <bookViews>
    <workbookView xWindow="-110" yWindow="-110" windowWidth="19420" windowHeight="10420" xr2:uid="{00000000-000D-0000-FFFF-FFFF00000000}"/>
  </bookViews>
  <sheets>
    <sheet name="Projektrollen" sheetId="1" r:id="rId1"/>
    <sheet name="Stakeholder" sheetId="2" r:id="rId2"/>
    <sheet name="Score Sheet" sheetId="5" r:id="rId3"/>
    <sheet name="Tabelle2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 a="1"/>
  <c r="H4" i="1"/>
  <c r="H3" i="1" a="1"/>
  <c r="H3" i="1"/>
  <c r="H2" i="1" a="1"/>
  <c r="H2" i="1"/>
  <c r="H10" i="1" a="1"/>
  <c r="H10" i="1"/>
  <c r="H9" i="1" a="1"/>
  <c r="H9" i="1"/>
  <c r="H8" i="1" a="1"/>
  <c r="H8" i="1"/>
  <c r="H5" i="1" a="1"/>
  <c r="H5" i="1"/>
  <c r="H6" i="1" a="1"/>
  <c r="H6" i="1"/>
  <c r="H7" i="1" a="1"/>
  <c r="H7" i="1"/>
  <c r="B77" i="5"/>
  <c r="A76" i="5"/>
  <c r="A73" i="5"/>
  <c r="A72" i="5"/>
  <c r="A71" i="5"/>
  <c r="A70" i="5"/>
  <c r="A69" i="5"/>
  <c r="B66" i="5"/>
  <c r="A60" i="5"/>
  <c r="A65" i="5"/>
  <c r="A64" i="5"/>
  <c r="A63" i="5"/>
  <c r="A62" i="5"/>
  <c r="A61" i="5"/>
  <c r="A59" i="5"/>
  <c r="A57" i="5"/>
  <c r="B55" i="5"/>
  <c r="A54" i="5"/>
  <c r="A47" i="5"/>
  <c r="B44" i="5"/>
  <c r="A38" i="5"/>
  <c r="A40" i="5"/>
  <c r="A39" i="5"/>
  <c r="A37" i="5"/>
  <c r="B33" i="5"/>
  <c r="A28" i="5"/>
  <c r="A32" i="5"/>
  <c r="A31" i="5"/>
  <c r="A30" i="5"/>
  <c r="A29" i="5"/>
  <c r="A27" i="5"/>
  <c r="A26" i="5"/>
  <c r="A25" i="5"/>
  <c r="A24" i="5"/>
  <c r="A33" i="5"/>
  <c r="B22" i="5"/>
  <c r="A14" i="5"/>
  <c r="A15" i="5"/>
  <c r="B11" i="5"/>
  <c r="A10" i="5"/>
  <c r="A3" i="5"/>
  <c r="A7" i="5"/>
  <c r="A36" i="5"/>
  <c r="A75" i="5"/>
  <c r="G9" i="5"/>
  <c r="A5" i="5"/>
  <c r="A8" i="5"/>
  <c r="A9" i="5"/>
  <c r="A13" i="5"/>
  <c r="G5" i="5"/>
  <c r="A2" i="5"/>
  <c r="A4" i="5"/>
  <c r="A6" i="5"/>
  <c r="A11" i="5"/>
  <c r="A58" i="5"/>
  <c r="A66" i="5"/>
  <c r="A18" i="5"/>
  <c r="A49" i="5"/>
  <c r="A68" i="5"/>
  <c r="G2" i="5"/>
  <c r="A42" i="5"/>
  <c r="A50" i="5"/>
  <c r="A74" i="5"/>
  <c r="A48" i="5"/>
  <c r="A41" i="5"/>
  <c r="A19" i="5"/>
  <c r="A35" i="5"/>
  <c r="A43" i="5"/>
  <c r="A44" i="5"/>
  <c r="A51" i="5"/>
  <c r="A16" i="5"/>
  <c r="A17" i="5"/>
  <c r="A46" i="5"/>
  <c r="G4" i="5"/>
  <c r="A20" i="5"/>
  <c r="A53" i="5"/>
  <c r="G3" i="5"/>
  <c r="A52" i="5"/>
  <c r="A77" i="5"/>
  <c r="A21" i="5"/>
  <c r="G8" i="5"/>
  <c r="G1" i="5"/>
  <c r="G6" i="5"/>
  <c r="A55" i="5"/>
  <c r="G7" i="5"/>
  <c r="A2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<sst xmlns="http://schemas.openxmlformats.org/spreadsheetml/2006/main" count="132" uniqueCount="111">
  <si>
    <t>Person 1</t>
  </si>
  <si>
    <t>Person 2</t>
  </si>
  <si>
    <t>Person 3</t>
  </si>
  <si>
    <t>Person 4</t>
  </si>
  <si>
    <t>Person 5</t>
  </si>
  <si>
    <t>Person 6</t>
  </si>
  <si>
    <t>Summe</t>
  </si>
  <si>
    <t>Coordinator</t>
  </si>
  <si>
    <t>Shaper</t>
  </si>
  <si>
    <t>Plant</t>
  </si>
  <si>
    <t>Monitor/Evaluator</t>
  </si>
  <si>
    <t>Implementer</t>
  </si>
  <si>
    <t>Teamworker</t>
  </si>
  <si>
    <t>Ressource Investigator</t>
  </si>
  <si>
    <t>Completer/Finisher</t>
  </si>
  <si>
    <t>Specialist</t>
  </si>
  <si>
    <t>Stakeholders</t>
  </si>
  <si>
    <t>Needs</t>
  </si>
  <si>
    <t>Actions</t>
  </si>
  <si>
    <t>Communication Channels</t>
  </si>
  <si>
    <t>Feedback</t>
  </si>
  <si>
    <t>Restaurants</t>
  </si>
  <si>
    <t>Stastitik wie viel wird verkauft, Durchschnittliche Wartezeiten, wie viel Leerzeit, welche Gertränke, Personalperformance</t>
  </si>
  <si>
    <t>Datenschutzbeauftragter</t>
  </si>
  <si>
    <t>Kellner</t>
  </si>
  <si>
    <t>Grafische Oberfläche, Meldungen, Trinkgeld</t>
  </si>
  <si>
    <t>Gastronomielandschaft</t>
  </si>
  <si>
    <t>Wettbewerb(sfähigkeit), Verbreitung der Technologie</t>
  </si>
  <si>
    <t>Getränkelieferanten</t>
  </si>
  <si>
    <t>Mehr Bestellungen (aufgrund höherer Kundenzufriedenheit und höheren Verbrauch)</t>
  </si>
  <si>
    <t>Gastronomieverbände</t>
  </si>
  <si>
    <t>Statistiken über Erfolgsquoten, Abschätzung von Potenzialen</t>
  </si>
  <si>
    <t>Section A</t>
  </si>
  <si>
    <t>What I believe I can contribute to a team</t>
  </si>
  <si>
    <t>I think I can quickly see and take advantage of new opportunities</t>
  </si>
  <si>
    <t>I can work well with a very wide range of people</t>
  </si>
  <si>
    <t>Producing ideas is one of my natural assets</t>
  </si>
  <si>
    <t>My ability rests in being able to draw people out whenever I detect they have something of value to contribute to group objectives</t>
  </si>
  <si>
    <t>I can be relied upon to finish any task I undertake</t>
  </si>
  <si>
    <t>My technical knowledge and experience is usually my major asset</t>
  </si>
  <si>
    <t>I am always ready to be blunt and outspoken in the cause of making the right things happen</t>
  </si>
  <si>
    <t>I can usually tell whether a plan or idea will fit a particular situation</t>
  </si>
  <si>
    <t>I can offer a reasoned and unbiased case or alternative courses of action</t>
  </si>
  <si>
    <t>Total</t>
  </si>
  <si>
    <t>Section B</t>
  </si>
  <si>
    <t>If I have a possible shortcoming in team work, it could be that</t>
  </si>
  <si>
    <t>I am not at ease unless meetings are well structured and controlled and generally well conducted</t>
  </si>
  <si>
    <t>I am inclined to be too generous towards others who have a valid viewpoint that has not been given a proper airing.</t>
  </si>
  <si>
    <t>I am reluctant to contribute unless the subject deals with a field I know well</t>
  </si>
  <si>
    <t>I have a tendency to talk a lot once the group gets on to a new topic</t>
  </si>
  <si>
    <t>My objective outlook makes it difficult for me to join in readily and enthusiastically with colleagues</t>
  </si>
  <si>
    <t>I am sometimes seen as forceful and authoritarian when dealing with important issues</t>
  </si>
  <si>
    <t>I find it difficult to lead from the front, perhaps because I am over responsive to group atmosphere</t>
  </si>
  <si>
    <t>I am apt to get too caught up in ideas that occur to me and so lose track of what is happening</t>
  </si>
  <si>
    <t>I am reluctant to express my opinions on proposals or plans that are incomplete or insufficiently detailed.</t>
  </si>
  <si>
    <t>Total 10</t>
  </si>
  <si>
    <t>Section C</t>
  </si>
  <si>
    <t>When involved in a project with other people</t>
  </si>
  <si>
    <t>I have an aptitude for influencing people without pressuring them</t>
  </si>
  <si>
    <t>I am generally effective in preventing careless mistakes or omissions from spoiling the success of an operation</t>
  </si>
  <si>
    <t>I like to press for action to make sure that the meeting does not waste time or lose sight of the main objective</t>
  </si>
  <si>
    <t>I can be counted on to contribute something original</t>
  </si>
  <si>
    <t>I am always ready to back a good suggestion in the common interest</t>
  </si>
  <si>
    <t>I am quick to see the possibilities in new ideas and developments</t>
  </si>
  <si>
    <t>I try to maintain my sense of professionalism</t>
  </si>
  <si>
    <t>I believe my capacity for judgement can help to bring about the right decisions</t>
  </si>
  <si>
    <t>I can be relied on to bring an organised approach to the demands of the job</t>
  </si>
  <si>
    <t>Section D</t>
  </si>
  <si>
    <t>My characteristic approach to group work is</t>
  </si>
  <si>
    <t>I maintain a quiet interest in getting to know colleagues better</t>
  </si>
  <si>
    <t>I contribute where I know what I am talking about</t>
  </si>
  <si>
    <t>I am not reluctant to challenge the views of others or to hold a minority view myself</t>
  </si>
  <si>
    <t>I can usually find a line of argument to refute unsound propositions</t>
  </si>
  <si>
    <t>I think I have a talent for making things work once a plan has to be put into operation</t>
  </si>
  <si>
    <t>I prefer to avoid the obvious and to open up lines that have not been explored</t>
  </si>
  <si>
    <t>I bring a touch of perfectionism to any job I undertake</t>
  </si>
  <si>
    <t>I like to be the one to make contacts outside the group or the firm</t>
  </si>
  <si>
    <t>While I am interested in all views, I have no hesitation in making up my mind once a decision has to be made</t>
  </si>
  <si>
    <t>Section E</t>
  </si>
  <si>
    <t>I gain satisfaction in a job because</t>
  </si>
  <si>
    <t>I enjoy analysing situations and weighing up all the possible choices</t>
  </si>
  <si>
    <t>I am interested in finding practical solutions to problems</t>
  </si>
  <si>
    <t>I like to feel I am fostering good working relationships</t>
  </si>
  <si>
    <t>I can have a strong influence on decisions</t>
  </si>
  <si>
    <t>I have a chance of meeting new people with different ideas</t>
  </si>
  <si>
    <t>I can get people to agree on priorities and objectives</t>
  </si>
  <si>
    <t>I feel in my element where I can give a task my full attention</t>
  </si>
  <si>
    <t>I can find an opportunity to stretch my imagination</t>
  </si>
  <si>
    <t>I feel I am using my special qualifications and training to advantage</t>
  </si>
  <si>
    <t>Section F</t>
  </si>
  <si>
    <t>If I am suddenly given a difficult task with limited time and unfamiliar people</t>
  </si>
  <si>
    <t>I like to read as much as I conveniently can on the subject</t>
  </si>
  <si>
    <t>I would feel like devising a solution on my own then trying to sell it to the group</t>
  </si>
  <si>
    <t>I would be ready to work with the person who showed the most positive approach</t>
  </si>
  <si>
    <t>I would find some way of reducing the size of the task by establishing how different individuals can contribute</t>
  </si>
  <si>
    <t>My natural sense of urgency would help to ensure that we did not fall behind schedule</t>
  </si>
  <si>
    <t>I believe I would keep cool and maintain my capacity to think straight</t>
  </si>
  <si>
    <t>In spite of conflicting pressures, I would press ahead with whatever needed to be done</t>
  </si>
  <si>
    <t>I would tend to assert myself if I felt the group was making no progress</t>
  </si>
  <si>
    <t>I would open discussions with a view to stimulating new thoughts and getting something moving.</t>
  </si>
  <si>
    <t>Section G</t>
  </si>
  <si>
    <t>With reference to the problems which I experience when working in groups</t>
  </si>
  <si>
    <t>I am apt to overreact when people hold up progress</t>
  </si>
  <si>
    <t>Some people criticise me for being too analytical</t>
  </si>
  <si>
    <t>My desire to check that we get the important details right is not always welcome</t>
  </si>
  <si>
    <t>I tend to show boredom unless I am actively engaged with stimulating people</t>
  </si>
  <si>
    <t>I find it difficult to get started unless the goals are clear.</t>
  </si>
  <si>
    <t>I am sometimes poor at putting across complex points that occur to me</t>
  </si>
  <si>
    <t>I am conscious of demanding from others the things I cannot do myself</t>
  </si>
  <si>
    <t>I am inclined to feel I am wasting time and would do better on my own</t>
  </si>
  <si>
    <t>I hesitate to express my personal views in front of difficult or powerful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</si>
</sst>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0" tint="-0.499984740745262"/>
      <name val="Aptos Narrow"/>
      <scheme val="minor"/>
    </font>
    <font>
      <b/>
      <sz val="16"/>
      <color theme="1"/>
      <name val="Aptos Narrow"/>
      <scheme val="minor"/>
    </font>
    <font>
      <b/>
      <sz val="12"/>
      <color theme="1"/>
      <name val="Aptos Narrow"/>
      <scheme val="minor"/>
    </font>
    <font>
      <sz val="16"/>
      <color theme="0" tint="-0.499984740745262"/>
      <name val="Aptos Narrow"/>
      <scheme val="minor"/>
    </font>
    <font>
      <sz val="16"/>
      <color theme="1"/>
      <name val="Aptos Narrow"/>
      <scheme val="minor"/>
    </font>
    <font>
      <sz val="12"/>
      <color theme="0" tint="-0.499984740745262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BBBBB"/>
      </left>
      <right style="medium">
        <color indexed="64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1" xfId="1" applyFont="1" applyBorder="1"/>
    <xf numFmtId="0" fontId="5" fillId="0" borderId="2" xfId="1" applyFont="1" applyBorder="1"/>
    <xf numFmtId="0" fontId="5" fillId="0" borderId="3" xfId="1" applyFont="1" applyBorder="1" applyAlignment="1">
      <alignment wrapText="1"/>
    </xf>
    <xf numFmtId="0" fontId="6" fillId="0" borderId="0" xfId="1" applyFont="1"/>
    <xf numFmtId="0" fontId="5" fillId="0" borderId="0" xfId="1" applyFont="1"/>
    <xf numFmtId="0" fontId="7" fillId="2" borderId="4" xfId="1" applyFont="1" applyFill="1" applyBorder="1"/>
    <xf numFmtId="0" fontId="8" fillId="0" borderId="5" xfId="1" applyFont="1" applyBorder="1"/>
    <xf numFmtId="0" fontId="8" fillId="0" borderId="6" xfId="1" applyFont="1" applyBorder="1" applyAlignment="1">
      <alignment wrapText="1"/>
    </xf>
    <xf numFmtId="0" fontId="3" fillId="0" borderId="0" xfId="1"/>
    <xf numFmtId="0" fontId="8" fillId="0" borderId="0" xfId="1" applyFont="1"/>
    <xf numFmtId="0" fontId="7" fillId="0" borderId="7" xfId="1" applyFont="1" applyBorder="1"/>
    <xf numFmtId="0" fontId="8" fillId="0" borderId="8" xfId="1" applyFont="1" applyBorder="1"/>
    <xf numFmtId="0" fontId="8" fillId="0" borderId="9" xfId="1" applyFont="1" applyBorder="1" applyAlignment="1">
      <alignment wrapText="1"/>
    </xf>
    <xf numFmtId="0" fontId="8" fillId="0" borderId="10" xfId="1" applyFont="1" applyBorder="1" applyAlignment="1">
      <alignment vertical="top" wrapText="1"/>
    </xf>
    <xf numFmtId="0" fontId="9" fillId="0" borderId="0" xfId="1" applyFont="1"/>
    <xf numFmtId="0" fontId="3" fillId="0" borderId="0" xfId="1" applyAlignment="1">
      <alignment wrapText="1"/>
    </xf>
    <xf numFmtId="0" fontId="5" fillId="3" borderId="1" xfId="1" applyFont="1" applyFill="1" applyBorder="1"/>
    <xf numFmtId="0" fontId="8" fillId="3" borderId="4" xfId="1" applyFont="1" applyFill="1" applyBorder="1"/>
    <xf numFmtId="0" fontId="8" fillId="3" borderId="7" xfId="1" applyFont="1" applyFill="1" applyBorder="1"/>
    <xf numFmtId="0" fontId="3" fillId="3" borderId="0" xfId="1" applyFill="1"/>
  </cellXfs>
  <cellStyles count="2">
    <cellStyle name="Normal" xfId="0" builtinId="0"/>
    <cellStyle name="Standard 2" xfId="1" xr:uid="{9A0D0858-0C52-4C82-9417-AEE59460012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Projektrollen!$B$1</c:f>
              <c:strCache>
                <c:ptCount val="1"/>
                <c:pt idx="0">
                  <c:v>Person 1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Projektrollen!$A$2:$A$10</c:f>
              <c:strCache>
                <c:ptCount val="9"/>
                <c:pt idx="0">
                  <c:v>Coordinator</c:v>
                </c:pt>
                <c:pt idx="1">
                  <c:v>Shaper</c:v>
                </c:pt>
                <c:pt idx="2">
                  <c:v>Plant</c:v>
                </c:pt>
                <c:pt idx="3">
                  <c:v>Monitor/Evaluator</c:v>
                </c:pt>
                <c:pt idx="4">
                  <c:v>Implementer</c:v>
                </c:pt>
                <c:pt idx="5">
                  <c:v>Teamworker</c:v>
                </c:pt>
                <c:pt idx="6">
                  <c:v>Ressource Investigator</c:v>
                </c:pt>
                <c:pt idx="7">
                  <c:v>Completer/Finisher</c:v>
                </c:pt>
                <c:pt idx="8">
                  <c:v>Specialist</c:v>
                </c:pt>
              </c:strCache>
            </c:strRef>
          </c:cat>
          <c:val>
            <c:numRef>
              <c:f>Projektrollen!$B$2:$B$10</c:f>
              <c:numCache>
                <c:formatCode>General</c:formatCode>
                <c:ptCount val="9"/>
                <c:pt idx="0">
                  <c:v>8.6373503790000008</c:v>
                </c:pt>
                <c:pt idx="1">
                  <c:v>5.8112342809999999</c:v>
                </c:pt>
                <c:pt idx="2">
                  <c:v>8.8902873800000002</c:v>
                </c:pt>
                <c:pt idx="3">
                  <c:v>5.9057732449999998</c:v>
                </c:pt>
                <c:pt idx="4">
                  <c:v>9.9863058379999998</c:v>
                </c:pt>
                <c:pt idx="5">
                  <c:v>8.9020550059999994</c:v>
                </c:pt>
                <c:pt idx="6">
                  <c:v>6.0680352109999998</c:v>
                </c:pt>
                <c:pt idx="7">
                  <c:v>7.823646063</c:v>
                </c:pt>
                <c:pt idx="8">
                  <c:v>7.9753125960000002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C-4CEF-873F-81B64D27B683}"/>
            </c:ext>
          </c:extLst>
        </c:ser>
        <c:ser>
          <c:idx val="1"/>
          <c:order val="1"/>
          <c:tx>
            <c:strRef>
              <c:f>Projektrollen!$C$1</c:f>
              <c:strCache>
                <c:ptCount val="1"/>
                <c:pt idx="0">
                  <c:v>Person 2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Projektrollen!$A$2:$A$10</c:f>
              <c:strCache>
                <c:ptCount val="9"/>
                <c:pt idx="0">
                  <c:v>Coordinator</c:v>
                </c:pt>
                <c:pt idx="1">
                  <c:v>Shaper</c:v>
                </c:pt>
                <c:pt idx="2">
                  <c:v>Plant</c:v>
                </c:pt>
                <c:pt idx="3">
                  <c:v>Monitor/Evaluator</c:v>
                </c:pt>
                <c:pt idx="4">
                  <c:v>Implementer</c:v>
                </c:pt>
                <c:pt idx="5">
                  <c:v>Teamworker</c:v>
                </c:pt>
                <c:pt idx="6">
                  <c:v>Ressource Investigator</c:v>
                </c:pt>
                <c:pt idx="7">
                  <c:v>Completer/Finisher</c:v>
                </c:pt>
                <c:pt idx="8">
                  <c:v>Specialist</c:v>
                </c:pt>
              </c:strCache>
            </c:strRef>
          </c:cat>
          <c:val>
            <c:numRef>
              <c:f>Projektrollen!$C$2:$C$10</c:f>
              <c:numCache>
                <c:formatCode>General</c:formatCode>
                <c:ptCount val="9"/>
                <c:pt idx="0">
                  <c:v>7.7</c:v>
                </c:pt>
                <c:pt idx="1">
                  <c:v>7.9</c:v>
                </c:pt>
                <c:pt idx="2">
                  <c:v>8.1999999999999993</c:v>
                </c:pt>
                <c:pt idx="3">
                  <c:v>7.2</c:v>
                </c:pt>
                <c:pt idx="4">
                  <c:v>8.1999999999999993</c:v>
                </c:pt>
                <c:pt idx="5">
                  <c:v>5.9</c:v>
                </c:pt>
                <c:pt idx="6">
                  <c:v>7.3</c:v>
                </c:pt>
                <c:pt idx="7">
                  <c:v>8.4</c:v>
                </c:pt>
                <c:pt idx="8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7C-4CEF-873F-81B64D27B683}"/>
            </c:ext>
          </c:extLst>
        </c:ser>
        <c:ser>
          <c:idx val="2"/>
          <c:order val="2"/>
          <c:tx>
            <c:strRef>
              <c:f>Projektrollen!$D$1</c:f>
              <c:strCache>
                <c:ptCount val="1"/>
                <c:pt idx="0">
                  <c:v>Person 3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strRef>
              <c:f>Projektrollen!$A$2:$A$10</c:f>
              <c:strCache>
                <c:ptCount val="9"/>
                <c:pt idx="0">
                  <c:v>Coordinator</c:v>
                </c:pt>
                <c:pt idx="1">
                  <c:v>Shaper</c:v>
                </c:pt>
                <c:pt idx="2">
                  <c:v>Plant</c:v>
                </c:pt>
                <c:pt idx="3">
                  <c:v>Monitor/Evaluator</c:v>
                </c:pt>
                <c:pt idx="4">
                  <c:v>Implementer</c:v>
                </c:pt>
                <c:pt idx="5">
                  <c:v>Teamworker</c:v>
                </c:pt>
                <c:pt idx="6">
                  <c:v>Ressource Investigator</c:v>
                </c:pt>
                <c:pt idx="7">
                  <c:v>Completer/Finisher</c:v>
                </c:pt>
                <c:pt idx="8">
                  <c:v>Specialist</c:v>
                </c:pt>
              </c:strCache>
            </c:strRef>
          </c:cat>
          <c:val>
            <c:numRef>
              <c:f>Projektrollen!$D$2:$D$10</c:f>
              <c:numCache>
                <c:formatCode>0.00</c:formatCode>
                <c:ptCount val="9"/>
                <c:pt idx="0">
                  <c:v>7.5</c:v>
                </c:pt>
                <c:pt idx="1">
                  <c:v>9.8000000000000007</c:v>
                </c:pt>
                <c:pt idx="2">
                  <c:v>5.2</c:v>
                </c:pt>
                <c:pt idx="3">
                  <c:v>7.9</c:v>
                </c:pt>
                <c:pt idx="4">
                  <c:v>8.9</c:v>
                </c:pt>
                <c:pt idx="5">
                  <c:v>8.1999999999999993</c:v>
                </c:pt>
                <c:pt idx="6">
                  <c:v>7.3</c:v>
                </c:pt>
                <c:pt idx="7">
                  <c:v>7.4</c:v>
                </c:pt>
                <c:pt idx="8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7C-4CEF-873F-81B64D27B683}"/>
            </c:ext>
          </c:extLst>
        </c:ser>
        <c:ser>
          <c:idx val="3"/>
          <c:order val="3"/>
          <c:tx>
            <c:strRef>
              <c:f>Projektrollen!$E$1</c:f>
              <c:strCache>
                <c:ptCount val="1"/>
                <c:pt idx="0">
                  <c:v>Person 4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cat>
            <c:strRef>
              <c:f>Projektrollen!$A$2:$A$10</c:f>
              <c:strCache>
                <c:ptCount val="9"/>
                <c:pt idx="0">
                  <c:v>Coordinator</c:v>
                </c:pt>
                <c:pt idx="1">
                  <c:v>Shaper</c:v>
                </c:pt>
                <c:pt idx="2">
                  <c:v>Plant</c:v>
                </c:pt>
                <c:pt idx="3">
                  <c:v>Monitor/Evaluator</c:v>
                </c:pt>
                <c:pt idx="4">
                  <c:v>Implementer</c:v>
                </c:pt>
                <c:pt idx="5">
                  <c:v>Teamworker</c:v>
                </c:pt>
                <c:pt idx="6">
                  <c:v>Ressource Investigator</c:v>
                </c:pt>
                <c:pt idx="7">
                  <c:v>Completer/Finisher</c:v>
                </c:pt>
                <c:pt idx="8">
                  <c:v>Specialist</c:v>
                </c:pt>
              </c:strCache>
            </c:strRef>
          </c:cat>
          <c:val>
            <c:numRef>
              <c:f>Projektrollen!$E$2:$E$10</c:f>
              <c:numCache>
                <c:formatCode>0.00</c:formatCode>
                <c:ptCount val="9"/>
                <c:pt idx="0">
                  <c:v>7.5</c:v>
                </c:pt>
                <c:pt idx="1">
                  <c:v>9.6999999999999993</c:v>
                </c:pt>
                <c:pt idx="2">
                  <c:v>8.6</c:v>
                </c:pt>
                <c:pt idx="3">
                  <c:v>8.1999999999999993</c:v>
                </c:pt>
                <c:pt idx="4">
                  <c:v>6.3</c:v>
                </c:pt>
                <c:pt idx="5">
                  <c:v>8</c:v>
                </c:pt>
                <c:pt idx="6">
                  <c:v>6.5</c:v>
                </c:pt>
                <c:pt idx="7">
                  <c:v>6.5</c:v>
                </c:pt>
                <c:pt idx="8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7C-4CEF-873F-81B64D27B683}"/>
            </c:ext>
          </c:extLst>
        </c:ser>
        <c:ser>
          <c:idx val="4"/>
          <c:order val="4"/>
          <c:tx>
            <c:strRef>
              <c:f>Projektrollen!$F$1</c:f>
              <c:strCache>
                <c:ptCount val="1"/>
                <c:pt idx="0">
                  <c:v>Person 5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none"/>
          </c:marker>
          <c:cat>
            <c:strRef>
              <c:f>Projektrollen!$A$2:$A$10</c:f>
              <c:strCache>
                <c:ptCount val="9"/>
                <c:pt idx="0">
                  <c:v>Coordinator</c:v>
                </c:pt>
                <c:pt idx="1">
                  <c:v>Shaper</c:v>
                </c:pt>
                <c:pt idx="2">
                  <c:v>Plant</c:v>
                </c:pt>
                <c:pt idx="3">
                  <c:v>Monitor/Evaluator</c:v>
                </c:pt>
                <c:pt idx="4">
                  <c:v>Implementer</c:v>
                </c:pt>
                <c:pt idx="5">
                  <c:v>Teamworker</c:v>
                </c:pt>
                <c:pt idx="6">
                  <c:v>Ressource Investigator</c:v>
                </c:pt>
                <c:pt idx="7">
                  <c:v>Completer/Finisher</c:v>
                </c:pt>
                <c:pt idx="8">
                  <c:v>Specialist</c:v>
                </c:pt>
              </c:strCache>
            </c:strRef>
          </c:cat>
          <c:val>
            <c:numRef>
              <c:f>Projektrollen!$F$2:$F$10</c:f>
              <c:numCache>
                <c:formatCode>0.00</c:formatCode>
                <c:ptCount val="9"/>
                <c:pt idx="0">
                  <c:v>7.8</c:v>
                </c:pt>
                <c:pt idx="1">
                  <c:v>10</c:v>
                </c:pt>
                <c:pt idx="2">
                  <c:v>7.5</c:v>
                </c:pt>
                <c:pt idx="3">
                  <c:v>8.8000000000000007</c:v>
                </c:pt>
                <c:pt idx="4">
                  <c:v>4.8</c:v>
                </c:pt>
                <c:pt idx="5">
                  <c:v>7.7</c:v>
                </c:pt>
                <c:pt idx="6">
                  <c:v>8.8000000000000007</c:v>
                </c:pt>
                <c:pt idx="7">
                  <c:v>7.4</c:v>
                </c:pt>
                <c:pt idx="8">
                  <c:v>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7C-4CEF-873F-81B64D27B683}"/>
            </c:ext>
          </c:extLst>
        </c:ser>
        <c:ser>
          <c:idx val="5"/>
          <c:order val="5"/>
          <c:tx>
            <c:strRef>
              <c:f>Projektrollen!$G$1</c:f>
              <c:strCache>
                <c:ptCount val="1"/>
                <c:pt idx="0">
                  <c:v>Person 6</c:v>
                </c:pt>
              </c:strCache>
            </c:strRef>
          </c:tx>
          <c:spPr>
            <a:ln w="28575" cap="rnd">
              <a:solidFill>
                <a:srgbClr val="3A96DD"/>
              </a:solidFill>
              <a:round/>
            </a:ln>
            <a:effectLst/>
          </c:spPr>
          <c:marker>
            <c:symbol val="none"/>
          </c:marker>
          <c:cat>
            <c:strRef>
              <c:f>Projektrollen!$A$2:$A$10</c:f>
              <c:strCache>
                <c:ptCount val="9"/>
                <c:pt idx="0">
                  <c:v>Coordinator</c:v>
                </c:pt>
                <c:pt idx="1">
                  <c:v>Shaper</c:v>
                </c:pt>
                <c:pt idx="2">
                  <c:v>Plant</c:v>
                </c:pt>
                <c:pt idx="3">
                  <c:v>Monitor/Evaluator</c:v>
                </c:pt>
                <c:pt idx="4">
                  <c:v>Implementer</c:v>
                </c:pt>
                <c:pt idx="5">
                  <c:v>Teamworker</c:v>
                </c:pt>
                <c:pt idx="6">
                  <c:v>Ressource Investigator</c:v>
                </c:pt>
                <c:pt idx="7">
                  <c:v>Completer/Finisher</c:v>
                </c:pt>
                <c:pt idx="8">
                  <c:v>Specialist</c:v>
                </c:pt>
              </c:strCache>
            </c:strRef>
          </c:cat>
          <c:val>
            <c:numRef>
              <c:f>Projektrollen!$G$2:$G$10</c:f>
              <c:numCache>
                <c:formatCode>0.00</c:formatCode>
                <c:ptCount val="9"/>
                <c:pt idx="0">
                  <c:v>8.1726480343916919</c:v>
                </c:pt>
                <c:pt idx="1">
                  <c:v>6.4017540576787493</c:v>
                </c:pt>
                <c:pt idx="2">
                  <c:v>8.6242219633363106</c:v>
                </c:pt>
                <c:pt idx="3">
                  <c:v>6.4203980095123558</c:v>
                </c:pt>
                <c:pt idx="4">
                  <c:v>9.4328438969582429</c:v>
                </c:pt>
                <c:pt idx="5">
                  <c:v>8.7959344701781266</c:v>
                </c:pt>
                <c:pt idx="6">
                  <c:v>6.6594223206129524</c:v>
                </c:pt>
                <c:pt idx="7">
                  <c:v>7.8331819449256006</c:v>
                </c:pt>
                <c:pt idx="8">
                  <c:v>7.6595953024059726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7C-4CEF-873F-81B64D27B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980936"/>
        <c:axId val="361982984"/>
      </c:radarChart>
      <c:catAx>
        <c:axId val="361980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82984"/>
        <c:crosses val="autoZero"/>
        <c:auto val="1"/>
        <c:lblAlgn val="ctr"/>
        <c:lblOffset val="100"/>
        <c:noMultiLvlLbl val="0"/>
      </c:catAx>
      <c:valAx>
        <c:axId val="361982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98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Projektrollen!$H$1</c:f>
              <c:strCache>
                <c:ptCount val="1"/>
                <c:pt idx="0">
                  <c:v>Summe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Projektrollen!$A$2:$A$10</c:f>
              <c:strCache>
                <c:ptCount val="9"/>
                <c:pt idx="0">
                  <c:v>Coordinator</c:v>
                </c:pt>
                <c:pt idx="1">
                  <c:v>Shaper</c:v>
                </c:pt>
                <c:pt idx="2">
                  <c:v>Plant</c:v>
                </c:pt>
                <c:pt idx="3">
                  <c:v>Monitor/Evaluator</c:v>
                </c:pt>
                <c:pt idx="4">
                  <c:v>Implementer</c:v>
                </c:pt>
                <c:pt idx="5">
                  <c:v>Teamworker</c:v>
                </c:pt>
                <c:pt idx="6">
                  <c:v>Ressource Investigator</c:v>
                </c:pt>
                <c:pt idx="7">
                  <c:v>Completer/Finisher</c:v>
                </c:pt>
                <c:pt idx="8">
                  <c:v>Specialist</c:v>
                </c:pt>
              </c:strCache>
            </c:strRef>
          </c:cat>
          <c:val>
            <c:numRef>
              <c:f>Projektrollen!$H$2:$H$10</c:f>
              <c:numCache>
                <c:formatCode>General</c:formatCode>
                <c:ptCount val="9"/>
                <c:pt idx="0">
                  <c:v>7.8849997355652821</c:v>
                </c:pt>
                <c:pt idx="1">
                  <c:v>8.2688313897797912</c:v>
                </c:pt>
                <c:pt idx="2">
                  <c:v>7.8357515572227188</c:v>
                </c:pt>
                <c:pt idx="3">
                  <c:v>7.4043618757520591</c:v>
                </c:pt>
                <c:pt idx="4">
                  <c:v>7.936524955826374</c:v>
                </c:pt>
                <c:pt idx="5">
                  <c:v>7.9163315793630202</c:v>
                </c:pt>
                <c:pt idx="6">
                  <c:v>7.1045762552688245</c:v>
                </c:pt>
                <c:pt idx="7">
                  <c:v>7.5594713346542672</c:v>
                </c:pt>
                <c:pt idx="8">
                  <c:v>8.0891513164009954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50-405C-BD0B-FD72E1E78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400264"/>
        <c:axId val="362406408"/>
      </c:radarChart>
      <c:catAx>
        <c:axId val="362400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406408"/>
        <c:crosses val="autoZero"/>
        <c:auto val="1"/>
        <c:lblAlgn val="ctr"/>
        <c:lblOffset val="100"/>
        <c:noMultiLvlLbl val="0"/>
      </c:catAx>
      <c:valAx>
        <c:axId val="362406408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400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Projektrollen!$B$1</c:f>
              <c:strCache>
                <c:ptCount val="1"/>
                <c:pt idx="0">
                  <c:v>Person 1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cat>
            <c:strRef>
              <c:f>Projektrollen!$A$2:$A$10</c:f>
              <c:strCache>
                <c:ptCount val="9"/>
                <c:pt idx="0">
                  <c:v>Coordinator</c:v>
                </c:pt>
                <c:pt idx="1">
                  <c:v>Shaper</c:v>
                </c:pt>
                <c:pt idx="2">
                  <c:v>Plant</c:v>
                </c:pt>
                <c:pt idx="3">
                  <c:v>Monitor/Evaluator</c:v>
                </c:pt>
                <c:pt idx="4">
                  <c:v>Implementer</c:v>
                </c:pt>
                <c:pt idx="5">
                  <c:v>Teamworker</c:v>
                </c:pt>
                <c:pt idx="6">
                  <c:v>Ressource Investigator</c:v>
                </c:pt>
                <c:pt idx="7">
                  <c:v>Completer/Finisher</c:v>
                </c:pt>
                <c:pt idx="8">
                  <c:v>Specialist</c:v>
                </c:pt>
              </c:strCache>
            </c:strRef>
          </c:cat>
          <c:val>
            <c:numRef>
              <c:f>Projektrollen!$B$2:$B$10</c:f>
              <c:numCache>
                <c:formatCode>General</c:formatCode>
                <c:ptCount val="9"/>
                <c:pt idx="0">
                  <c:v>8.6373503790000008</c:v>
                </c:pt>
                <c:pt idx="1">
                  <c:v>5.8112342809999999</c:v>
                </c:pt>
                <c:pt idx="2">
                  <c:v>8.8902873800000002</c:v>
                </c:pt>
                <c:pt idx="3">
                  <c:v>5.9057732449999998</c:v>
                </c:pt>
                <c:pt idx="4">
                  <c:v>9.9863058379999998</c:v>
                </c:pt>
                <c:pt idx="5">
                  <c:v>8.9020550059999994</c:v>
                </c:pt>
                <c:pt idx="6">
                  <c:v>6.0680352109999998</c:v>
                </c:pt>
                <c:pt idx="7">
                  <c:v>7.823646063</c:v>
                </c:pt>
                <c:pt idx="8">
                  <c:v>7.9753125960000002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2C-4AC1-8EC3-6CF25739ED4F}"/>
            </c:ext>
          </c:extLst>
        </c:ser>
        <c:ser>
          <c:idx val="1"/>
          <c:order val="1"/>
          <c:tx>
            <c:strRef>
              <c:f>Projektrollen!$C$1</c:f>
              <c:strCache>
                <c:ptCount val="1"/>
                <c:pt idx="0">
                  <c:v>Person 2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Projektrollen!$A$2:$A$10</c:f>
              <c:strCache>
                <c:ptCount val="9"/>
                <c:pt idx="0">
                  <c:v>Coordinator</c:v>
                </c:pt>
                <c:pt idx="1">
                  <c:v>Shaper</c:v>
                </c:pt>
                <c:pt idx="2">
                  <c:v>Plant</c:v>
                </c:pt>
                <c:pt idx="3">
                  <c:v>Monitor/Evaluator</c:v>
                </c:pt>
                <c:pt idx="4">
                  <c:v>Implementer</c:v>
                </c:pt>
                <c:pt idx="5">
                  <c:v>Teamworker</c:v>
                </c:pt>
                <c:pt idx="6">
                  <c:v>Ressource Investigator</c:v>
                </c:pt>
                <c:pt idx="7">
                  <c:v>Completer/Finisher</c:v>
                </c:pt>
                <c:pt idx="8">
                  <c:v>Specialist</c:v>
                </c:pt>
              </c:strCache>
            </c:strRef>
          </c:cat>
          <c:val>
            <c:numRef>
              <c:f>Projektrollen!$C$2:$C$10</c:f>
              <c:numCache>
                <c:formatCode>General</c:formatCode>
                <c:ptCount val="9"/>
                <c:pt idx="0">
                  <c:v>7.7</c:v>
                </c:pt>
                <c:pt idx="1">
                  <c:v>7.9</c:v>
                </c:pt>
                <c:pt idx="2">
                  <c:v>8.1999999999999993</c:v>
                </c:pt>
                <c:pt idx="3">
                  <c:v>7.2</c:v>
                </c:pt>
                <c:pt idx="4">
                  <c:v>8.1999999999999993</c:v>
                </c:pt>
                <c:pt idx="5">
                  <c:v>5.9</c:v>
                </c:pt>
                <c:pt idx="6">
                  <c:v>7.3</c:v>
                </c:pt>
                <c:pt idx="7">
                  <c:v>8.4</c:v>
                </c:pt>
                <c:pt idx="8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2C-4AC1-8EC3-6CF25739ED4F}"/>
            </c:ext>
          </c:extLst>
        </c:ser>
        <c:ser>
          <c:idx val="2"/>
          <c:order val="2"/>
          <c:tx>
            <c:strRef>
              <c:f>Projektrollen!$D$1</c:f>
              <c:strCache>
                <c:ptCount val="1"/>
                <c:pt idx="0">
                  <c:v>Person 3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strRef>
              <c:f>Projektrollen!$A$2:$A$10</c:f>
              <c:strCache>
                <c:ptCount val="9"/>
                <c:pt idx="0">
                  <c:v>Coordinator</c:v>
                </c:pt>
                <c:pt idx="1">
                  <c:v>Shaper</c:v>
                </c:pt>
                <c:pt idx="2">
                  <c:v>Plant</c:v>
                </c:pt>
                <c:pt idx="3">
                  <c:v>Monitor/Evaluator</c:v>
                </c:pt>
                <c:pt idx="4">
                  <c:v>Implementer</c:v>
                </c:pt>
                <c:pt idx="5">
                  <c:v>Teamworker</c:v>
                </c:pt>
                <c:pt idx="6">
                  <c:v>Ressource Investigator</c:v>
                </c:pt>
                <c:pt idx="7">
                  <c:v>Completer/Finisher</c:v>
                </c:pt>
                <c:pt idx="8">
                  <c:v>Specialist</c:v>
                </c:pt>
              </c:strCache>
            </c:strRef>
          </c:cat>
          <c:val>
            <c:numRef>
              <c:f>Projektrollen!$D$2:$D$10</c:f>
              <c:numCache>
                <c:formatCode>0.00</c:formatCode>
                <c:ptCount val="9"/>
                <c:pt idx="0">
                  <c:v>7.5</c:v>
                </c:pt>
                <c:pt idx="1">
                  <c:v>9.8000000000000007</c:v>
                </c:pt>
                <c:pt idx="2">
                  <c:v>5.2</c:v>
                </c:pt>
                <c:pt idx="3">
                  <c:v>7.9</c:v>
                </c:pt>
                <c:pt idx="4">
                  <c:v>8.9</c:v>
                </c:pt>
                <c:pt idx="5">
                  <c:v>8.1999999999999993</c:v>
                </c:pt>
                <c:pt idx="6">
                  <c:v>7.3</c:v>
                </c:pt>
                <c:pt idx="7">
                  <c:v>7.4</c:v>
                </c:pt>
                <c:pt idx="8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2C-4AC1-8EC3-6CF25739ED4F}"/>
            </c:ext>
          </c:extLst>
        </c:ser>
        <c:ser>
          <c:idx val="3"/>
          <c:order val="3"/>
          <c:tx>
            <c:strRef>
              <c:f>Projektrollen!$E$1</c:f>
              <c:strCache>
                <c:ptCount val="1"/>
                <c:pt idx="0">
                  <c:v>Person 4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cat>
            <c:strRef>
              <c:f>Projektrollen!$A$2:$A$10</c:f>
              <c:strCache>
                <c:ptCount val="9"/>
                <c:pt idx="0">
                  <c:v>Coordinator</c:v>
                </c:pt>
                <c:pt idx="1">
                  <c:v>Shaper</c:v>
                </c:pt>
                <c:pt idx="2">
                  <c:v>Plant</c:v>
                </c:pt>
                <c:pt idx="3">
                  <c:v>Monitor/Evaluator</c:v>
                </c:pt>
                <c:pt idx="4">
                  <c:v>Implementer</c:v>
                </c:pt>
                <c:pt idx="5">
                  <c:v>Teamworker</c:v>
                </c:pt>
                <c:pt idx="6">
                  <c:v>Ressource Investigator</c:v>
                </c:pt>
                <c:pt idx="7">
                  <c:v>Completer/Finisher</c:v>
                </c:pt>
                <c:pt idx="8">
                  <c:v>Specialist</c:v>
                </c:pt>
              </c:strCache>
            </c:strRef>
          </c:cat>
          <c:val>
            <c:numRef>
              <c:f>Projektrollen!$E$2:$E$10</c:f>
              <c:numCache>
                <c:formatCode>0.00</c:formatCode>
                <c:ptCount val="9"/>
                <c:pt idx="0">
                  <c:v>7.5</c:v>
                </c:pt>
                <c:pt idx="1">
                  <c:v>9.6999999999999993</c:v>
                </c:pt>
                <c:pt idx="2">
                  <c:v>8.6</c:v>
                </c:pt>
                <c:pt idx="3">
                  <c:v>8.1999999999999993</c:v>
                </c:pt>
                <c:pt idx="4">
                  <c:v>6.3</c:v>
                </c:pt>
                <c:pt idx="5">
                  <c:v>8</c:v>
                </c:pt>
                <c:pt idx="6">
                  <c:v>6.5</c:v>
                </c:pt>
                <c:pt idx="7">
                  <c:v>6.5</c:v>
                </c:pt>
                <c:pt idx="8">
                  <c:v>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2C-4AC1-8EC3-6CF25739ED4F}"/>
            </c:ext>
          </c:extLst>
        </c:ser>
        <c:ser>
          <c:idx val="4"/>
          <c:order val="4"/>
          <c:tx>
            <c:strRef>
              <c:f>Projektrollen!$F$1</c:f>
              <c:strCache>
                <c:ptCount val="1"/>
                <c:pt idx="0">
                  <c:v>Person 5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none"/>
          </c:marker>
          <c:cat>
            <c:strRef>
              <c:f>Projektrollen!$A$2:$A$10</c:f>
              <c:strCache>
                <c:ptCount val="9"/>
                <c:pt idx="0">
                  <c:v>Coordinator</c:v>
                </c:pt>
                <c:pt idx="1">
                  <c:v>Shaper</c:v>
                </c:pt>
                <c:pt idx="2">
                  <c:v>Plant</c:v>
                </c:pt>
                <c:pt idx="3">
                  <c:v>Monitor/Evaluator</c:v>
                </c:pt>
                <c:pt idx="4">
                  <c:v>Implementer</c:v>
                </c:pt>
                <c:pt idx="5">
                  <c:v>Teamworker</c:v>
                </c:pt>
                <c:pt idx="6">
                  <c:v>Ressource Investigator</c:v>
                </c:pt>
                <c:pt idx="7">
                  <c:v>Completer/Finisher</c:v>
                </c:pt>
                <c:pt idx="8">
                  <c:v>Specialist</c:v>
                </c:pt>
              </c:strCache>
            </c:strRef>
          </c:cat>
          <c:val>
            <c:numRef>
              <c:f>Projektrollen!$F$2:$F$10</c:f>
              <c:numCache>
                <c:formatCode>0.00</c:formatCode>
                <c:ptCount val="9"/>
                <c:pt idx="0">
                  <c:v>7.8</c:v>
                </c:pt>
                <c:pt idx="1">
                  <c:v>10</c:v>
                </c:pt>
                <c:pt idx="2">
                  <c:v>7.5</c:v>
                </c:pt>
                <c:pt idx="3">
                  <c:v>8.8000000000000007</c:v>
                </c:pt>
                <c:pt idx="4">
                  <c:v>4.8</c:v>
                </c:pt>
                <c:pt idx="5">
                  <c:v>7.7</c:v>
                </c:pt>
                <c:pt idx="6">
                  <c:v>8.8000000000000007</c:v>
                </c:pt>
                <c:pt idx="7">
                  <c:v>7.4</c:v>
                </c:pt>
                <c:pt idx="8">
                  <c:v>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2C-4AC1-8EC3-6CF25739ED4F}"/>
            </c:ext>
          </c:extLst>
        </c:ser>
        <c:ser>
          <c:idx val="5"/>
          <c:order val="5"/>
          <c:tx>
            <c:strRef>
              <c:f>Projektrollen!$G$1</c:f>
              <c:strCache>
                <c:ptCount val="1"/>
                <c:pt idx="0">
                  <c:v>Person 6</c:v>
                </c:pt>
              </c:strCache>
            </c:strRef>
          </c:tx>
          <c:spPr>
            <a:ln w="28575" cap="rnd">
              <a:solidFill>
                <a:srgbClr val="3A96DD"/>
              </a:solidFill>
              <a:round/>
            </a:ln>
            <a:effectLst/>
          </c:spPr>
          <c:marker>
            <c:symbol val="none"/>
          </c:marker>
          <c:cat>
            <c:strRef>
              <c:f>Projektrollen!$A$2:$A$10</c:f>
              <c:strCache>
                <c:ptCount val="9"/>
                <c:pt idx="0">
                  <c:v>Coordinator</c:v>
                </c:pt>
                <c:pt idx="1">
                  <c:v>Shaper</c:v>
                </c:pt>
                <c:pt idx="2">
                  <c:v>Plant</c:v>
                </c:pt>
                <c:pt idx="3">
                  <c:v>Monitor/Evaluator</c:v>
                </c:pt>
                <c:pt idx="4">
                  <c:v>Implementer</c:v>
                </c:pt>
                <c:pt idx="5">
                  <c:v>Teamworker</c:v>
                </c:pt>
                <c:pt idx="6">
                  <c:v>Ressource Investigator</c:v>
                </c:pt>
                <c:pt idx="7">
                  <c:v>Completer/Finisher</c:v>
                </c:pt>
                <c:pt idx="8">
                  <c:v>Specialist</c:v>
                </c:pt>
              </c:strCache>
            </c:strRef>
          </c:cat>
          <c:val>
            <c:numRef>
              <c:f>Projektrollen!$G$2:$G$10</c:f>
              <c:numCache>
                <c:formatCode>0.00</c:formatCode>
                <c:ptCount val="9"/>
                <c:pt idx="0">
                  <c:v>8.1726480343916919</c:v>
                </c:pt>
                <c:pt idx="1">
                  <c:v>6.4017540576787493</c:v>
                </c:pt>
                <c:pt idx="2">
                  <c:v>8.6242219633363106</c:v>
                </c:pt>
                <c:pt idx="3">
                  <c:v>6.4203980095123558</c:v>
                </c:pt>
                <c:pt idx="4">
                  <c:v>9.4328438969582429</c:v>
                </c:pt>
                <c:pt idx="5">
                  <c:v>8.7959344701781266</c:v>
                </c:pt>
                <c:pt idx="6">
                  <c:v>6.6594223206129524</c:v>
                </c:pt>
                <c:pt idx="7">
                  <c:v>7.8331819449256006</c:v>
                </c:pt>
                <c:pt idx="8">
                  <c:v>7.6595953024059726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2C-4AC1-8EC3-6CF25739E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066952"/>
        <c:axId val="258070536"/>
      </c:radarChart>
      <c:catAx>
        <c:axId val="258066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70536"/>
        <c:crosses val="autoZero"/>
        <c:auto val="1"/>
        <c:lblAlgn val="ctr"/>
        <c:lblOffset val="100"/>
        <c:noMultiLvlLbl val="0"/>
      </c:catAx>
      <c:valAx>
        <c:axId val="258070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066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'Score Sheet'!$F$1:$F$9</c:f>
              <c:strCache>
                <c:ptCount val="9"/>
                <c:pt idx="0">
                  <c:v>Coordinator</c:v>
                </c:pt>
                <c:pt idx="1">
                  <c:v>Shaper</c:v>
                </c:pt>
                <c:pt idx="2">
                  <c:v>Plant</c:v>
                </c:pt>
                <c:pt idx="3">
                  <c:v>Monitor/Evaluator</c:v>
                </c:pt>
                <c:pt idx="4">
                  <c:v>Implementer</c:v>
                </c:pt>
                <c:pt idx="5">
                  <c:v>Teamworker</c:v>
                </c:pt>
                <c:pt idx="6">
                  <c:v>Ressource Investigator</c:v>
                </c:pt>
                <c:pt idx="7">
                  <c:v>Completer/Finisher</c:v>
                </c:pt>
                <c:pt idx="8">
                  <c:v>Specialist</c:v>
                </c:pt>
              </c:strCache>
            </c:strRef>
          </c:cat>
          <c:val>
            <c:numRef>
              <c:f>'Score Sheet'!$G$1:$G$9</c:f>
              <c:numCache>
                <c:formatCode>General</c:formatCode>
                <c:ptCount val="9"/>
                <c:pt idx="0">
                  <c:v>8.1726480343916919</c:v>
                </c:pt>
                <c:pt idx="1">
                  <c:v>6.4017540576787493</c:v>
                </c:pt>
                <c:pt idx="2">
                  <c:v>8.6242219633363106</c:v>
                </c:pt>
                <c:pt idx="3">
                  <c:v>6.4203980095123558</c:v>
                </c:pt>
                <c:pt idx="4">
                  <c:v>9.4328438969582429</c:v>
                </c:pt>
                <c:pt idx="5">
                  <c:v>8.7959344701781266</c:v>
                </c:pt>
                <c:pt idx="6">
                  <c:v>6.6594223206129524</c:v>
                </c:pt>
                <c:pt idx="7">
                  <c:v>7.8331819449256006</c:v>
                </c:pt>
                <c:pt idx="8">
                  <c:v>7.6595953024059726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5-49CB-B0A4-B5A073810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549711"/>
        <c:axId val="302679151"/>
      </c:radarChart>
      <c:catAx>
        <c:axId val="302549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2679151"/>
        <c:crosses val="autoZero"/>
        <c:auto val="1"/>
        <c:lblAlgn val="ctr"/>
        <c:lblOffset val="100"/>
        <c:noMultiLvlLbl val="0"/>
      </c:catAx>
      <c:valAx>
        <c:axId val="30267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254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0</xdr:row>
      <xdr:rowOff>-95250</xdr:rowOff>
    </xdr:from>
    <xdr:to>
      <xdr:col>0</xdr:col>
      <xdr:colOff>314325</xdr:colOff>
      <xdr:row>0</xdr:row>
      <xdr:rowOff>-95250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B946C5D9-7AEE-369D-F311-A4D16AFE5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485775</xdr:colOff>
      <xdr:row>16</xdr:row>
      <xdr:rowOff>47625</xdr:rowOff>
    </xdr:from>
    <xdr:to>
      <xdr:col>17</xdr:col>
      <xdr:colOff>180975</xdr:colOff>
      <xdr:row>30</xdr:row>
      <xdr:rowOff>123825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A46925A5-7331-CA0C-A500-C4BFD388A6F4}"/>
            </a:ext>
            <a:ext uri="{147F2762-F138-4A5C-976F-8EAC2B608ADB}">
              <a16:predDERef xmlns:a16="http://schemas.microsoft.com/office/drawing/2014/main" pred="{B946C5D9-7AEE-369D-F311-A4D16AFE5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542925</xdr:colOff>
      <xdr:row>1</xdr:row>
      <xdr:rowOff>76200</xdr:rowOff>
    </xdr:from>
    <xdr:to>
      <xdr:col>17</xdr:col>
      <xdr:colOff>238125</xdr:colOff>
      <xdr:row>15</xdr:row>
      <xdr:rowOff>152400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5BFF50D4-B0C9-E50C-4BE8-B888E8DFD856}"/>
            </a:ext>
            <a:ext uri="{147F2762-F138-4A5C-976F-8EAC2B608ADB}">
              <a16:predDERef xmlns:a16="http://schemas.microsoft.com/office/drawing/2014/main" pred="{A46925A5-7331-CA0C-A500-C4BFD388A6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237671</xdr:colOff>
      <xdr:row>9</xdr:row>
      <xdr:rowOff>139700</xdr:rowOff>
    </xdr:from>
    <xdr:to>
      <xdr:col>13</xdr:col>
      <xdr:colOff>28121</xdr:colOff>
      <xdr:row>22</xdr:row>
      <xdr:rowOff>76200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E4B8811-3909-4FD9-9801-1F9AB09B86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T23" sqref="T23"/>
    </sheetView>
  </sheetViews>
  <sheetFormatPr defaultColWidth="9.140625" defaultRowHeight="14.45"/>
  <cols>
    <col min="1" max="1" width="21.5703125" customWidth="1"/>
    <col min="4" max="4" width="9.28515625" bestFit="1" customWidth="1"/>
  </cols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8.6373503790000008</v>
      </c>
      <c r="C2">
        <v>7.7</v>
      </c>
      <c r="D2" s="1">
        <v>7.5</v>
      </c>
      <c r="E2" s="1">
        <v>7.5</v>
      </c>
      <c r="F2" s="1">
        <v>7.8</v>
      </c>
      <c r="G2" s="1">
        <v>8.1726480343916919</v>
      </c>
      <c r="H2" cm="1">
        <f t="array" ref="H2">SUM(B2:G2/6)</f>
        <v>7.8849997355652821</v>
      </c>
    </row>
    <row r="3" spans="1:8">
      <c r="A3" t="s">
        <v>8</v>
      </c>
      <c r="B3">
        <v>5.8112342809999999</v>
      </c>
      <c r="C3">
        <v>7.9</v>
      </c>
      <c r="D3" s="1">
        <v>9.8000000000000007</v>
      </c>
      <c r="E3" s="1">
        <v>9.6999999999999993</v>
      </c>
      <c r="F3" s="1">
        <v>10</v>
      </c>
      <c r="G3" s="1">
        <v>6.4017540576787493</v>
      </c>
      <c r="H3" cm="1">
        <f t="array" ref="H3">SUM(B3:G3/6)</f>
        <v>8.2688313897797912</v>
      </c>
    </row>
    <row r="4" spans="1:8">
      <c r="A4" t="s">
        <v>9</v>
      </c>
      <c r="B4">
        <v>8.8902873800000002</v>
      </c>
      <c r="C4">
        <v>8.1999999999999993</v>
      </c>
      <c r="D4" s="1">
        <v>5.2</v>
      </c>
      <c r="E4" s="1">
        <v>8.6</v>
      </c>
      <c r="F4" s="1">
        <v>7.5</v>
      </c>
      <c r="G4" s="1">
        <v>8.6242219633363106</v>
      </c>
      <c r="H4" cm="1">
        <f t="array" ref="H4">SUM(B4:G4/6)</f>
        <v>7.8357515572227188</v>
      </c>
    </row>
    <row r="5" spans="1:8">
      <c r="A5" t="s">
        <v>10</v>
      </c>
      <c r="B5">
        <v>5.9057732449999998</v>
      </c>
      <c r="C5">
        <v>7.2</v>
      </c>
      <c r="D5" s="1">
        <v>7.9</v>
      </c>
      <c r="E5" s="1">
        <v>8.1999999999999993</v>
      </c>
      <c r="F5" s="1">
        <v>8.8000000000000007</v>
      </c>
      <c r="G5" s="1">
        <v>6.4203980095123558</v>
      </c>
      <c r="H5" cm="1">
        <f t="array" ref="H5">SUM(B5:G5/6)</f>
        <v>7.4043618757520591</v>
      </c>
    </row>
    <row r="6" spans="1:8">
      <c r="A6" t="s">
        <v>11</v>
      </c>
      <c r="B6">
        <v>9.9863058379999998</v>
      </c>
      <c r="C6">
        <v>8.1999999999999993</v>
      </c>
      <c r="D6" s="1">
        <v>8.9</v>
      </c>
      <c r="E6" s="1">
        <v>6.3</v>
      </c>
      <c r="F6" s="1">
        <v>4.8</v>
      </c>
      <c r="G6" s="1">
        <v>9.4328438969582429</v>
      </c>
      <c r="H6" cm="1">
        <f t="array" ref="H6">SUM(B6:G6/6)</f>
        <v>7.936524955826374</v>
      </c>
    </row>
    <row r="7" spans="1:8">
      <c r="A7" t="s">
        <v>12</v>
      </c>
      <c r="B7">
        <v>8.9020550059999994</v>
      </c>
      <c r="C7">
        <v>5.9</v>
      </c>
      <c r="D7" s="1">
        <v>8.1999999999999993</v>
      </c>
      <c r="E7" s="1">
        <v>8</v>
      </c>
      <c r="F7" s="1">
        <v>7.7</v>
      </c>
      <c r="G7" s="1">
        <v>8.7959344701781266</v>
      </c>
      <c r="H7" cm="1">
        <f t="array" ref="H7">SUM(B7:G7/6)</f>
        <v>7.9163315793630202</v>
      </c>
    </row>
    <row r="8" spans="1:8">
      <c r="A8" t="s">
        <v>13</v>
      </c>
      <c r="B8">
        <v>6.0680352109999998</v>
      </c>
      <c r="C8">
        <v>7.3</v>
      </c>
      <c r="D8" s="1">
        <v>7.3</v>
      </c>
      <c r="E8" s="1">
        <v>6.5</v>
      </c>
      <c r="F8" s="1">
        <v>8.8000000000000007</v>
      </c>
      <c r="G8" s="1">
        <v>6.6594223206129524</v>
      </c>
      <c r="H8" cm="1">
        <f t="array" ref="H8">SUM(B8:G8/6)</f>
        <v>7.1045762552688245</v>
      </c>
    </row>
    <row r="9" spans="1:8">
      <c r="A9" t="s">
        <v>14</v>
      </c>
      <c r="B9">
        <v>7.823646063</v>
      </c>
      <c r="C9">
        <v>8.4</v>
      </c>
      <c r="D9" s="1">
        <v>7.4</v>
      </c>
      <c r="E9" s="1">
        <v>6.5</v>
      </c>
      <c r="F9" s="1">
        <v>7.4</v>
      </c>
      <c r="G9" s="1">
        <v>7.8331819449256006</v>
      </c>
      <c r="H9" cm="1">
        <f t="array" ref="H9">SUM(B9:G9/6)</f>
        <v>7.5594713346542672</v>
      </c>
    </row>
    <row r="10" spans="1:8">
      <c r="A10" t="s">
        <v>15</v>
      </c>
      <c r="B10">
        <v>7.9753125960000002</v>
      </c>
      <c r="C10">
        <v>9.1999999999999993</v>
      </c>
      <c r="D10" s="1">
        <v>7.8</v>
      </c>
      <c r="E10" s="1">
        <v>8.6</v>
      </c>
      <c r="F10" s="1">
        <v>7.3</v>
      </c>
      <c r="G10" s="1">
        <v>7.6595953024059726</v>
      </c>
      <c r="H10" cm="1">
        <f t="array" ref="H10">SUM(B10:G10/6)</f>
        <v>8.0891513164009954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91677-F407-4622-AF1F-7FD68E176DFA}">
  <dimension ref="A1:E6"/>
  <sheetViews>
    <sheetView workbookViewId="0">
      <selection activeCell="A2" sqref="A2:A3"/>
    </sheetView>
  </sheetViews>
  <sheetFormatPr defaultColWidth="9.140625" defaultRowHeight="14.45"/>
  <cols>
    <col min="1" max="1" width="22.7109375" customWidth="1"/>
    <col min="2" max="2" width="101.28515625" customWidth="1"/>
    <col min="3" max="3" width="23.28515625" customWidth="1"/>
    <col min="4" max="4" width="27.42578125" customWidth="1"/>
  </cols>
  <sheetData>
    <row r="1" spans="1: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</row>
    <row r="2" spans="1:5">
      <c r="A2" t="s">
        <v>21</v>
      </c>
      <c r="B2" t="s">
        <v>22</v>
      </c>
      <c r="C2" t="s">
        <v>23</v>
      </c>
    </row>
    <row r="3" spans="1:5">
      <c r="A3" t="s">
        <v>24</v>
      </c>
      <c r="B3" t="s">
        <v>25</v>
      </c>
    </row>
    <row r="4" spans="1:5">
      <c r="A4" t="s">
        <v>26</v>
      </c>
      <c r="B4" t="s">
        <v>27</v>
      </c>
    </row>
    <row r="5" spans="1:5">
      <c r="A5" t="s">
        <v>28</v>
      </c>
      <c r="B5" t="s">
        <v>29</v>
      </c>
    </row>
    <row r="6" spans="1:5">
      <c r="A6" t="s">
        <v>30</v>
      </c>
      <c r="B6" s="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2DB8-A0B0-4CB7-AA8C-8F5FAB45B785}">
  <dimension ref="A1:G77"/>
  <sheetViews>
    <sheetView zoomScale="70" zoomScaleNormal="70" workbookViewId="0">
      <selection activeCell="D68" sqref="D68"/>
    </sheetView>
  </sheetViews>
  <sheetFormatPr defaultColWidth="11.42578125" defaultRowHeight="21"/>
  <cols>
    <col min="1" max="1" width="13.28515625" style="18" bestFit="1" customWidth="1"/>
    <col min="2" max="2" width="13.28515625" style="23" customWidth="1"/>
    <col min="3" max="3" width="12.42578125" style="12" customWidth="1"/>
    <col min="4" max="4" width="94.140625" style="19" customWidth="1"/>
    <col min="5" max="5" width="11.42578125" style="12"/>
    <col min="6" max="6" width="29.7109375" style="13" bestFit="1" customWidth="1"/>
    <col min="7" max="7" width="6.85546875" style="13" customWidth="1"/>
    <col min="8" max="16384" width="11.42578125" style="12"/>
  </cols>
  <sheetData>
    <row r="1" spans="1:7" s="7" customFormat="1">
      <c r="A1" s="4" t="s">
        <v>32</v>
      </c>
      <c r="B1" s="20" t="s">
        <v>32</v>
      </c>
      <c r="C1" s="5"/>
      <c r="D1" s="6" t="s">
        <v>33</v>
      </c>
      <c r="F1" s="8" t="s">
        <v>7</v>
      </c>
      <c r="G1" s="8">
        <f>A5+A14+A24+A43+A51+A60+A74</f>
        <v>8.1726480343916919</v>
      </c>
    </row>
    <row r="2" spans="1:7">
      <c r="A2" s="9">
        <f>B2/$B$11*10</f>
        <v>1.0714285714285714</v>
      </c>
      <c r="B2" s="21">
        <v>6</v>
      </c>
      <c r="C2" s="10">
        <v>10</v>
      </c>
      <c r="D2" s="11" t="s">
        <v>34</v>
      </c>
      <c r="F2" s="8" t="s">
        <v>8</v>
      </c>
      <c r="G2" s="8">
        <f>A8+A18+A26+A37+A49+A64+A68</f>
        <v>6.4017540576787493</v>
      </c>
    </row>
    <row r="3" spans="1:7">
      <c r="A3" s="9">
        <f t="shared" ref="A3:A10" si="0">B3/$B$11*10</f>
        <v>1.25</v>
      </c>
      <c r="B3" s="21">
        <v>7</v>
      </c>
      <c r="C3" s="10">
        <v>11</v>
      </c>
      <c r="D3" s="11" t="s">
        <v>35</v>
      </c>
      <c r="F3" s="8" t="s">
        <v>9</v>
      </c>
      <c r="G3" s="8">
        <f>A4+A20+A27+A40+A53+A58+A73</f>
        <v>8.6242219633363106</v>
      </c>
    </row>
    <row r="4" spans="1:7">
      <c r="A4" s="9">
        <f t="shared" si="0"/>
        <v>1.0714285714285714</v>
      </c>
      <c r="B4" s="21">
        <v>6</v>
      </c>
      <c r="C4" s="10">
        <v>12</v>
      </c>
      <c r="D4" s="11" t="s">
        <v>36</v>
      </c>
      <c r="F4" s="8" t="s">
        <v>10</v>
      </c>
      <c r="G4" s="8">
        <f>A10+A17+A31+A38+A46+A62+A69</f>
        <v>6.4203980095123558</v>
      </c>
    </row>
    <row r="5" spans="1:7" ht="42">
      <c r="A5" s="9">
        <f t="shared" si="0"/>
        <v>1.25</v>
      </c>
      <c r="B5" s="21">
        <v>7</v>
      </c>
      <c r="C5" s="10">
        <v>13</v>
      </c>
      <c r="D5" s="11" t="s">
        <v>37</v>
      </c>
      <c r="F5" s="8" t="s">
        <v>11</v>
      </c>
      <c r="G5" s="8">
        <f>A9+A13+A32+A39+A47+A63+A72</f>
        <v>9.4328438969582429</v>
      </c>
    </row>
    <row r="6" spans="1:7">
      <c r="A6" s="9">
        <f t="shared" si="0"/>
        <v>1.4285714285714284</v>
      </c>
      <c r="B6" s="21">
        <v>8</v>
      </c>
      <c r="C6" s="10">
        <v>14</v>
      </c>
      <c r="D6" s="11" t="s">
        <v>38</v>
      </c>
      <c r="F6" s="8" t="s">
        <v>12</v>
      </c>
      <c r="G6" s="8">
        <f>A3+A19+A28+A35+A48+A59+A76</f>
        <v>8.7959344701781266</v>
      </c>
    </row>
    <row r="7" spans="1:7">
      <c r="A7" s="9">
        <f t="shared" si="0"/>
        <v>0.8928571428571429</v>
      </c>
      <c r="B7" s="21">
        <v>5</v>
      </c>
      <c r="C7" s="10">
        <v>15</v>
      </c>
      <c r="D7" s="11" t="s">
        <v>39</v>
      </c>
      <c r="F7" s="8" t="s">
        <v>13</v>
      </c>
      <c r="G7" s="8">
        <f>A2+A16+A29+A42+A50+A65+A71</f>
        <v>6.6594223206129524</v>
      </c>
    </row>
    <row r="8" spans="1:7" ht="42">
      <c r="A8" s="9">
        <f t="shared" si="0"/>
        <v>0.8928571428571429</v>
      </c>
      <c r="B8" s="21">
        <v>5</v>
      </c>
      <c r="C8" s="10">
        <v>16</v>
      </c>
      <c r="D8" s="11" t="s">
        <v>40</v>
      </c>
      <c r="F8" s="8" t="s">
        <v>14</v>
      </c>
      <c r="G8" s="8">
        <f>A6+A21+A25+A41+A52+A61+A70</f>
        <v>7.8331819449256006</v>
      </c>
    </row>
    <row r="9" spans="1:7">
      <c r="A9" s="9">
        <f t="shared" si="0"/>
        <v>1.25</v>
      </c>
      <c r="B9" s="21">
        <v>7</v>
      </c>
      <c r="C9" s="10">
        <v>17</v>
      </c>
      <c r="D9" s="11" t="s">
        <v>41</v>
      </c>
      <c r="F9" s="8" t="s">
        <v>15</v>
      </c>
      <c r="G9" s="8">
        <f>A7+A15+A30+A36+A54+A57+A75</f>
        <v>7.6595953024059726</v>
      </c>
    </row>
    <row r="10" spans="1:7">
      <c r="A10" s="9">
        <f t="shared" si="0"/>
        <v>0.8928571428571429</v>
      </c>
      <c r="B10" s="21">
        <v>5</v>
      </c>
      <c r="C10" s="10">
        <v>18</v>
      </c>
      <c r="D10" s="11" t="s">
        <v>42</v>
      </c>
    </row>
    <row r="11" spans="1:7" ht="21.6" thickBot="1">
      <c r="A11" s="14">
        <f>SUM(A2:A10)</f>
        <v>10</v>
      </c>
      <c r="B11" s="22">
        <f>SUM(B2:B10)</f>
        <v>56</v>
      </c>
      <c r="C11" s="15"/>
      <c r="D11" s="16" t="s">
        <v>43</v>
      </c>
    </row>
    <row r="12" spans="1:7" s="7" customFormat="1">
      <c r="A12" s="4" t="s">
        <v>44</v>
      </c>
      <c r="B12" s="20" t="s">
        <v>44</v>
      </c>
      <c r="C12" s="5"/>
      <c r="D12" s="6" t="s">
        <v>45</v>
      </c>
      <c r="F12" s="8"/>
      <c r="G12" s="8"/>
    </row>
    <row r="13" spans="1:7" ht="42">
      <c r="A13" s="9">
        <f t="shared" ref="A13:A20" si="1">B13/$B$22*10</f>
        <v>1.3333333333333333</v>
      </c>
      <c r="B13" s="21">
        <v>6</v>
      </c>
      <c r="C13" s="10">
        <v>20</v>
      </c>
      <c r="D13" s="17" t="s">
        <v>46</v>
      </c>
    </row>
    <row r="14" spans="1:7" ht="42">
      <c r="A14" s="9">
        <f t="shared" si="1"/>
        <v>1.1111111111111112</v>
      </c>
      <c r="B14" s="21">
        <v>5</v>
      </c>
      <c r="C14" s="10">
        <v>21</v>
      </c>
      <c r="D14" s="17" t="s">
        <v>47</v>
      </c>
    </row>
    <row r="15" spans="1:7">
      <c r="A15" s="9">
        <f>B15/$B$22*10</f>
        <v>1.7777777777777779</v>
      </c>
      <c r="B15" s="21">
        <v>8</v>
      </c>
      <c r="C15" s="10">
        <v>22</v>
      </c>
      <c r="D15" s="17" t="s">
        <v>48</v>
      </c>
    </row>
    <row r="16" spans="1:7">
      <c r="A16" s="9">
        <f t="shared" si="1"/>
        <v>1.1111111111111112</v>
      </c>
      <c r="B16" s="21">
        <v>5</v>
      </c>
      <c r="C16" s="10">
        <v>23</v>
      </c>
      <c r="D16" s="17" t="s">
        <v>49</v>
      </c>
    </row>
    <row r="17" spans="1:7" ht="42">
      <c r="A17" s="9">
        <f t="shared" si="1"/>
        <v>0.66666666666666663</v>
      </c>
      <c r="B17" s="21">
        <v>3</v>
      </c>
      <c r="C17" s="10">
        <v>24</v>
      </c>
      <c r="D17" s="17" t="s">
        <v>50</v>
      </c>
    </row>
    <row r="18" spans="1:7" ht="42">
      <c r="A18" s="9">
        <f t="shared" si="1"/>
        <v>0.66666666666666663</v>
      </c>
      <c r="B18" s="21">
        <v>3</v>
      </c>
      <c r="C18" s="10">
        <v>25</v>
      </c>
      <c r="D18" s="17" t="s">
        <v>51</v>
      </c>
    </row>
    <row r="19" spans="1:7" ht="42">
      <c r="A19" s="9">
        <f t="shared" si="1"/>
        <v>0.88888888888888895</v>
      </c>
      <c r="B19" s="21">
        <v>4</v>
      </c>
      <c r="C19" s="10">
        <v>26</v>
      </c>
      <c r="D19" s="17" t="s">
        <v>52</v>
      </c>
    </row>
    <row r="20" spans="1:7" ht="42">
      <c r="A20" s="9">
        <f t="shared" si="1"/>
        <v>1.5555555555555556</v>
      </c>
      <c r="B20" s="21">
        <v>7</v>
      </c>
      <c r="C20" s="10">
        <v>27</v>
      </c>
      <c r="D20" s="17" t="s">
        <v>53</v>
      </c>
    </row>
    <row r="21" spans="1:7" ht="42">
      <c r="A21" s="9">
        <f>B21/$B$22*10</f>
        <v>0.88888888888888895</v>
      </c>
      <c r="B21" s="21">
        <v>4</v>
      </c>
      <c r="C21" s="10">
        <v>28</v>
      </c>
      <c r="D21" s="17" t="s">
        <v>54</v>
      </c>
    </row>
    <row r="22" spans="1:7" ht="21.6" thickBot="1">
      <c r="A22" s="14">
        <f>SUM(A13:A21)</f>
        <v>10.000000000000002</v>
      </c>
      <c r="B22" s="22">
        <f>SUM(B13:B21)</f>
        <v>45</v>
      </c>
      <c r="C22" s="15"/>
      <c r="D22" s="16" t="s">
        <v>55</v>
      </c>
    </row>
    <row r="23" spans="1:7" s="7" customFormat="1">
      <c r="A23" s="4" t="s">
        <v>56</v>
      </c>
      <c r="B23" s="20" t="s">
        <v>56</v>
      </c>
      <c r="C23" s="5"/>
      <c r="D23" s="6" t="s">
        <v>57</v>
      </c>
      <c r="F23" s="8"/>
      <c r="G23" s="8"/>
    </row>
    <row r="24" spans="1:7">
      <c r="A24" s="9">
        <f>B24/$B$33*10</f>
        <v>0.95238095238095233</v>
      </c>
      <c r="B24" s="21">
        <v>6</v>
      </c>
      <c r="C24" s="10">
        <v>30</v>
      </c>
      <c r="D24" s="17" t="s">
        <v>58</v>
      </c>
    </row>
    <row r="25" spans="1:7" ht="42">
      <c r="A25" s="9">
        <f t="shared" ref="A25:A30" si="2">B25/$B$33*10</f>
        <v>1.1111111111111112</v>
      </c>
      <c r="B25" s="21">
        <v>7</v>
      </c>
      <c r="C25" s="10">
        <v>31</v>
      </c>
      <c r="D25" s="17" t="s">
        <v>59</v>
      </c>
    </row>
    <row r="26" spans="1:7" ht="42">
      <c r="A26" s="9">
        <f t="shared" si="2"/>
        <v>1.1111111111111112</v>
      </c>
      <c r="B26" s="21">
        <v>7</v>
      </c>
      <c r="C26" s="10">
        <v>32</v>
      </c>
      <c r="D26" s="17" t="s">
        <v>60</v>
      </c>
    </row>
    <row r="27" spans="1:7">
      <c r="A27" s="9">
        <f t="shared" si="2"/>
        <v>1.2698412698412698</v>
      </c>
      <c r="B27" s="21">
        <v>8</v>
      </c>
      <c r="C27" s="10">
        <v>33</v>
      </c>
      <c r="D27" s="17" t="s">
        <v>61</v>
      </c>
    </row>
    <row r="28" spans="1:7">
      <c r="A28" s="9">
        <f t="shared" si="2"/>
        <v>1.4285714285714284</v>
      </c>
      <c r="B28" s="21">
        <v>9</v>
      </c>
      <c r="C28" s="10">
        <v>34</v>
      </c>
      <c r="D28" s="17" t="s">
        <v>62</v>
      </c>
    </row>
    <row r="29" spans="1:7">
      <c r="A29" s="9">
        <f t="shared" si="2"/>
        <v>0.95238095238095233</v>
      </c>
      <c r="B29" s="21">
        <v>6</v>
      </c>
      <c r="C29" s="10">
        <v>35</v>
      </c>
      <c r="D29" s="17" t="s">
        <v>63</v>
      </c>
    </row>
    <row r="30" spans="1:7">
      <c r="A30" s="9">
        <f t="shared" si="2"/>
        <v>0.63492063492063489</v>
      </c>
      <c r="B30" s="21">
        <v>4</v>
      </c>
      <c r="C30" s="10">
        <v>36</v>
      </c>
      <c r="D30" s="17" t="s">
        <v>64</v>
      </c>
    </row>
    <row r="31" spans="1:7">
      <c r="A31" s="9">
        <f>B31/$B$33*10</f>
        <v>1.2698412698412698</v>
      </c>
      <c r="B31" s="21">
        <v>8</v>
      </c>
      <c r="C31" s="10">
        <v>37</v>
      </c>
      <c r="D31" s="17" t="s">
        <v>65</v>
      </c>
    </row>
    <row r="32" spans="1:7">
      <c r="A32" s="9">
        <f>B32/$B$33*10</f>
        <v>1.2698412698412698</v>
      </c>
      <c r="B32" s="21">
        <v>8</v>
      </c>
      <c r="C32" s="10">
        <v>38</v>
      </c>
      <c r="D32" s="17" t="s">
        <v>66</v>
      </c>
    </row>
    <row r="33" spans="1:7" ht="21.6" thickBot="1">
      <c r="A33" s="14">
        <f>SUM(A24:A32)</f>
        <v>10</v>
      </c>
      <c r="B33" s="22">
        <f>SUM(B24:B32)</f>
        <v>63</v>
      </c>
      <c r="C33" s="15"/>
      <c r="D33" s="16" t="s">
        <v>55</v>
      </c>
    </row>
    <row r="34" spans="1:7" s="7" customFormat="1">
      <c r="A34" s="4" t="s">
        <v>67</v>
      </c>
      <c r="B34" s="20" t="s">
        <v>67</v>
      </c>
      <c r="C34" s="5"/>
      <c r="D34" s="6" t="s">
        <v>68</v>
      </c>
      <c r="F34" s="8"/>
      <c r="G34" s="8"/>
    </row>
    <row r="35" spans="1:7">
      <c r="A35" s="9">
        <f>B35/$B$44*10</f>
        <v>1.3793103448275863</v>
      </c>
      <c r="B35" s="21">
        <v>8</v>
      </c>
      <c r="C35" s="10">
        <v>40</v>
      </c>
      <c r="D35" s="17" t="s">
        <v>69</v>
      </c>
    </row>
    <row r="36" spans="1:7">
      <c r="A36" s="9">
        <f t="shared" ref="A36:A43" si="3">B36/$B$44*10</f>
        <v>1.5517241379310345</v>
      </c>
      <c r="B36" s="21">
        <v>9</v>
      </c>
      <c r="C36" s="10">
        <v>41</v>
      </c>
      <c r="D36" s="17" t="s">
        <v>70</v>
      </c>
    </row>
    <row r="37" spans="1:7" ht="42">
      <c r="A37" s="9">
        <f t="shared" si="3"/>
        <v>0.86206896551724144</v>
      </c>
      <c r="B37" s="21">
        <v>5</v>
      </c>
      <c r="C37" s="10">
        <v>42</v>
      </c>
      <c r="D37" s="17" t="s">
        <v>71</v>
      </c>
    </row>
    <row r="38" spans="1:7">
      <c r="A38" s="9">
        <f t="shared" si="3"/>
        <v>1.0344827586206897</v>
      </c>
      <c r="B38" s="21">
        <v>6</v>
      </c>
      <c r="C38" s="10">
        <v>43</v>
      </c>
      <c r="D38" s="17" t="s">
        <v>72</v>
      </c>
    </row>
    <row r="39" spans="1:7" ht="42">
      <c r="A39" s="9">
        <f t="shared" si="3"/>
        <v>1.0344827586206897</v>
      </c>
      <c r="B39" s="21">
        <v>6</v>
      </c>
      <c r="C39" s="10">
        <v>44</v>
      </c>
      <c r="D39" s="17" t="s">
        <v>73</v>
      </c>
    </row>
    <row r="40" spans="1:7">
      <c r="A40" s="9">
        <f t="shared" si="3"/>
        <v>1.0344827586206897</v>
      </c>
      <c r="B40" s="21">
        <v>6</v>
      </c>
      <c r="C40" s="10">
        <v>45</v>
      </c>
      <c r="D40" s="17" t="s">
        <v>74</v>
      </c>
    </row>
    <row r="41" spans="1:7">
      <c r="A41" s="9">
        <f t="shared" si="3"/>
        <v>1.3793103448275863</v>
      </c>
      <c r="B41" s="21">
        <v>8</v>
      </c>
      <c r="C41" s="10">
        <v>46</v>
      </c>
      <c r="D41" s="17" t="s">
        <v>75</v>
      </c>
    </row>
    <row r="42" spans="1:7">
      <c r="A42" s="9">
        <f t="shared" si="3"/>
        <v>0.34482758620689657</v>
      </c>
      <c r="B42" s="21">
        <v>2</v>
      </c>
      <c r="C42" s="10">
        <v>47</v>
      </c>
      <c r="D42" s="17" t="s">
        <v>76</v>
      </c>
    </row>
    <row r="43" spans="1:7" ht="42">
      <c r="A43" s="9">
        <f t="shared" si="3"/>
        <v>1.3793103448275863</v>
      </c>
      <c r="B43" s="21">
        <v>8</v>
      </c>
      <c r="C43" s="10">
        <v>48</v>
      </c>
      <c r="D43" s="17" t="s">
        <v>77</v>
      </c>
    </row>
    <row r="44" spans="1:7" ht="21.6" thickBot="1">
      <c r="A44" s="14">
        <f>SUM(A35:A43)</f>
        <v>10</v>
      </c>
      <c r="B44" s="22">
        <f>SUM(B35:B43)</f>
        <v>58</v>
      </c>
      <c r="C44" s="15"/>
      <c r="D44" s="16" t="s">
        <v>55</v>
      </c>
    </row>
    <row r="45" spans="1:7" s="7" customFormat="1">
      <c r="A45" s="4" t="s">
        <v>78</v>
      </c>
      <c r="B45" s="20" t="s">
        <v>78</v>
      </c>
      <c r="C45" s="5"/>
      <c r="D45" s="6" t="s">
        <v>79</v>
      </c>
      <c r="F45" s="8"/>
      <c r="G45" s="8"/>
    </row>
    <row r="46" spans="1:7">
      <c r="A46" s="9">
        <f>B46/$B$55*10</f>
        <v>0.78125</v>
      </c>
      <c r="B46" s="21">
        <v>5</v>
      </c>
      <c r="C46" s="10">
        <v>50</v>
      </c>
      <c r="D46" s="17" t="s">
        <v>80</v>
      </c>
    </row>
    <row r="47" spans="1:7">
      <c r="A47" s="9">
        <f t="shared" ref="A47:A54" si="4">B47/$B$55*10</f>
        <v>1.40625</v>
      </c>
      <c r="B47" s="21">
        <v>9</v>
      </c>
      <c r="C47" s="10">
        <v>51</v>
      </c>
      <c r="D47" s="17" t="s">
        <v>81</v>
      </c>
    </row>
    <row r="48" spans="1:7">
      <c r="A48" s="9">
        <f t="shared" si="4"/>
        <v>0.9375</v>
      </c>
      <c r="B48" s="21">
        <v>6</v>
      </c>
      <c r="C48" s="10">
        <v>52</v>
      </c>
      <c r="D48" s="17" t="s">
        <v>82</v>
      </c>
    </row>
    <row r="49" spans="1:7">
      <c r="A49" s="9">
        <f t="shared" si="4"/>
        <v>1.09375</v>
      </c>
      <c r="B49" s="21">
        <v>7</v>
      </c>
      <c r="C49" s="10">
        <v>53</v>
      </c>
      <c r="D49" s="17" t="s">
        <v>83</v>
      </c>
    </row>
    <row r="50" spans="1:7">
      <c r="A50" s="9">
        <f t="shared" si="4"/>
        <v>1.25</v>
      </c>
      <c r="B50" s="21">
        <v>8</v>
      </c>
      <c r="C50" s="10">
        <v>54</v>
      </c>
      <c r="D50" s="17" t="s">
        <v>84</v>
      </c>
    </row>
    <row r="51" spans="1:7">
      <c r="A51" s="9">
        <f t="shared" si="4"/>
        <v>1.25</v>
      </c>
      <c r="B51" s="21">
        <v>8</v>
      </c>
      <c r="C51" s="10">
        <v>55</v>
      </c>
      <c r="D51" s="17" t="s">
        <v>85</v>
      </c>
    </row>
    <row r="52" spans="1:7">
      <c r="A52" s="9">
        <f>B52/$B$55*10</f>
        <v>1.25</v>
      </c>
      <c r="B52" s="21">
        <v>8</v>
      </c>
      <c r="C52" s="10">
        <v>56</v>
      </c>
      <c r="D52" s="17" t="s">
        <v>86</v>
      </c>
    </row>
    <row r="53" spans="1:7">
      <c r="A53" s="9">
        <f t="shared" si="4"/>
        <v>0.78125</v>
      </c>
      <c r="B53" s="21">
        <v>5</v>
      </c>
      <c r="C53" s="10">
        <v>57</v>
      </c>
      <c r="D53" s="17" t="s">
        <v>87</v>
      </c>
    </row>
    <row r="54" spans="1:7">
      <c r="A54" s="9">
        <f t="shared" si="4"/>
        <v>1.25</v>
      </c>
      <c r="B54" s="21">
        <v>8</v>
      </c>
      <c r="C54" s="10">
        <v>58</v>
      </c>
      <c r="D54" s="17" t="s">
        <v>88</v>
      </c>
    </row>
    <row r="55" spans="1:7" ht="21.6" thickBot="1">
      <c r="A55" s="14">
        <f>SUM(A46:A54)</f>
        <v>10</v>
      </c>
      <c r="B55" s="22">
        <f>SUM(B46:B54)</f>
        <v>64</v>
      </c>
      <c r="C55" s="15"/>
      <c r="D55" s="16" t="s">
        <v>55</v>
      </c>
    </row>
    <row r="56" spans="1:7" s="7" customFormat="1">
      <c r="A56" s="4" t="s">
        <v>89</v>
      </c>
      <c r="B56" s="20" t="s">
        <v>89</v>
      </c>
      <c r="C56" s="5"/>
      <c r="D56" s="6" t="s">
        <v>90</v>
      </c>
      <c r="F56" s="8"/>
      <c r="G56" s="8"/>
    </row>
    <row r="57" spans="1:7">
      <c r="A57" s="9">
        <f>B57/$B$66*10</f>
        <v>0.18867924528301885</v>
      </c>
      <c r="B57" s="21">
        <v>1</v>
      </c>
      <c r="C57" s="10">
        <v>60</v>
      </c>
      <c r="D57" s="17" t="s">
        <v>91</v>
      </c>
    </row>
    <row r="58" spans="1:7">
      <c r="A58" s="9">
        <f t="shared" ref="A58:A65" si="5">B58/$B$66*10</f>
        <v>1.320754716981132</v>
      </c>
      <c r="B58" s="21">
        <v>7</v>
      </c>
      <c r="C58" s="10">
        <v>61</v>
      </c>
      <c r="D58" s="17" t="s">
        <v>92</v>
      </c>
    </row>
    <row r="59" spans="1:7" ht="42">
      <c r="A59" s="9">
        <f t="shared" si="5"/>
        <v>1.320754716981132</v>
      </c>
      <c r="B59" s="21">
        <v>7</v>
      </c>
      <c r="C59" s="10">
        <v>62</v>
      </c>
      <c r="D59" s="17" t="s">
        <v>93</v>
      </c>
    </row>
    <row r="60" spans="1:7" ht="42">
      <c r="A60" s="9">
        <f t="shared" si="5"/>
        <v>1.320754716981132</v>
      </c>
      <c r="B60" s="21">
        <v>7</v>
      </c>
      <c r="C60" s="10">
        <v>63</v>
      </c>
      <c r="D60" s="17" t="s">
        <v>94</v>
      </c>
    </row>
    <row r="61" spans="1:7" ht="42">
      <c r="A61" s="9">
        <f t="shared" si="5"/>
        <v>1.320754716981132</v>
      </c>
      <c r="B61" s="21">
        <v>7</v>
      </c>
      <c r="C61" s="10">
        <v>64</v>
      </c>
      <c r="D61" s="17" t="s">
        <v>95</v>
      </c>
    </row>
    <row r="62" spans="1:7">
      <c r="A62" s="9">
        <f t="shared" si="5"/>
        <v>1.320754716981132</v>
      </c>
      <c r="B62" s="21">
        <v>7</v>
      </c>
      <c r="C62" s="10">
        <v>65</v>
      </c>
      <c r="D62" s="17" t="s">
        <v>96</v>
      </c>
    </row>
    <row r="63" spans="1:7" ht="42">
      <c r="A63" s="9">
        <f t="shared" si="5"/>
        <v>1.320754716981132</v>
      </c>
      <c r="B63" s="21">
        <v>7</v>
      </c>
      <c r="C63" s="10">
        <v>66</v>
      </c>
      <c r="D63" s="17" t="s">
        <v>97</v>
      </c>
    </row>
    <row r="64" spans="1:7">
      <c r="A64" s="9">
        <f t="shared" si="5"/>
        <v>1.320754716981132</v>
      </c>
      <c r="B64" s="21">
        <v>7</v>
      </c>
      <c r="C64" s="10">
        <v>67</v>
      </c>
      <c r="D64" s="17" t="s">
        <v>98</v>
      </c>
    </row>
    <row r="65" spans="1:7" ht="42">
      <c r="A65" s="9">
        <f t="shared" si="5"/>
        <v>0.56603773584905659</v>
      </c>
      <c r="B65" s="21">
        <v>3</v>
      </c>
      <c r="C65" s="10">
        <v>68</v>
      </c>
      <c r="D65" s="17" t="s">
        <v>99</v>
      </c>
    </row>
    <row r="66" spans="1:7" ht="21.6" thickBot="1">
      <c r="A66" s="14">
        <f>SUM(A57:A65)</f>
        <v>9.9999999999999982</v>
      </c>
      <c r="B66" s="22">
        <f>SUM(B57:B65)</f>
        <v>53</v>
      </c>
      <c r="C66" s="15"/>
      <c r="D66" s="16" t="s">
        <v>55</v>
      </c>
    </row>
    <row r="67" spans="1:7" s="7" customFormat="1">
      <c r="A67" s="4" t="s">
        <v>100</v>
      </c>
      <c r="B67" s="20" t="s">
        <v>100</v>
      </c>
      <c r="C67" s="5"/>
      <c r="D67" s="6" t="s">
        <v>101</v>
      </c>
      <c r="F67" s="8"/>
      <c r="G67" s="8"/>
    </row>
    <row r="68" spans="1:7">
      <c r="A68" s="9">
        <f>B68/$B$77*10</f>
        <v>0.45454545454545459</v>
      </c>
      <c r="B68" s="21">
        <v>2</v>
      </c>
      <c r="C68" s="10">
        <v>70</v>
      </c>
      <c r="D68" s="17" t="s">
        <v>102</v>
      </c>
    </row>
    <row r="69" spans="1:7">
      <c r="A69" s="9">
        <f t="shared" ref="A69:A76" si="6">B69/$B$77*10</f>
        <v>0.45454545454545459</v>
      </c>
      <c r="B69" s="21">
        <v>2</v>
      </c>
      <c r="C69" s="10">
        <v>71</v>
      </c>
      <c r="D69" s="17" t="s">
        <v>103</v>
      </c>
    </row>
    <row r="70" spans="1:7">
      <c r="A70" s="9">
        <f t="shared" si="6"/>
        <v>0.45454545454545459</v>
      </c>
      <c r="B70" s="21">
        <v>2</v>
      </c>
      <c r="C70" s="10">
        <v>72</v>
      </c>
      <c r="D70" s="17" t="s">
        <v>104</v>
      </c>
    </row>
    <row r="71" spans="1:7">
      <c r="A71" s="9">
        <f t="shared" si="6"/>
        <v>1.3636363636363635</v>
      </c>
      <c r="B71" s="21">
        <v>6</v>
      </c>
      <c r="C71" s="10">
        <v>73</v>
      </c>
      <c r="D71" s="17" t="s">
        <v>105</v>
      </c>
    </row>
    <row r="72" spans="1:7">
      <c r="A72" s="9">
        <f t="shared" si="6"/>
        <v>1.8181818181818183</v>
      </c>
      <c r="B72" s="21">
        <v>8</v>
      </c>
      <c r="C72" s="10">
        <v>74</v>
      </c>
      <c r="D72" s="17" t="s">
        <v>106</v>
      </c>
    </row>
    <row r="73" spans="1:7">
      <c r="A73" s="9">
        <f t="shared" si="6"/>
        <v>1.5909090909090908</v>
      </c>
      <c r="B73" s="21">
        <v>7</v>
      </c>
      <c r="C73" s="10">
        <v>75</v>
      </c>
      <c r="D73" s="17" t="s">
        <v>107</v>
      </c>
    </row>
    <row r="74" spans="1:7">
      <c r="A74" s="9">
        <f t="shared" si="6"/>
        <v>0.90909090909090917</v>
      </c>
      <c r="B74" s="21">
        <v>4</v>
      </c>
      <c r="C74" s="10">
        <v>76</v>
      </c>
      <c r="D74" s="17" t="s">
        <v>108</v>
      </c>
    </row>
    <row r="75" spans="1:7">
      <c r="A75" s="9">
        <f t="shared" si="6"/>
        <v>1.3636363636363635</v>
      </c>
      <c r="B75" s="21">
        <v>6</v>
      </c>
      <c r="C75" s="10">
        <v>77</v>
      </c>
      <c r="D75" s="17" t="s">
        <v>109</v>
      </c>
    </row>
    <row r="76" spans="1:7">
      <c r="A76" s="9">
        <f t="shared" si="6"/>
        <v>1.5909090909090908</v>
      </c>
      <c r="B76" s="21">
        <v>7</v>
      </c>
      <c r="C76" s="10">
        <v>78</v>
      </c>
      <c r="D76" s="17" t="s">
        <v>110</v>
      </c>
    </row>
    <row r="77" spans="1:7" ht="21.6" thickBot="1">
      <c r="A77" s="14">
        <f>SUM(A68:A76)</f>
        <v>10</v>
      </c>
      <c r="B77" s="22">
        <f>SUM(B68:B76)</f>
        <v>44</v>
      </c>
      <c r="C77" s="15"/>
      <c r="D77" s="16" t="s">
        <v>55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0ABE8-EAAC-466B-8C96-449C3E7EB0DD}">
  <dimension ref="A1"/>
  <sheetViews>
    <sheetView workbookViewId="0"/>
  </sheetViews>
  <sheetFormatPr defaultColWidth="10.7109375" defaultRowHeight="14.4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4b9c9f-d5d6-4730-b2fb-96782b5d0db0">
      <Terms xmlns="http://schemas.microsoft.com/office/infopath/2007/PartnerControls"/>
    </lcf76f155ced4ddcb4097134ff3c332f>
    <TaxCatchAll xmlns="79662987-bd1f-4e6d-aa7c-8dd313e2a4c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783BB6F7F5F4249ADBF2BF278C8EDC2" ma:contentTypeVersion="10" ma:contentTypeDescription="Ein neues Dokument erstellen." ma:contentTypeScope="" ma:versionID="f8a2beebb7c38e1da74ff06bc07b477b">
  <xsd:schema xmlns:xsd="http://www.w3.org/2001/XMLSchema" xmlns:xs="http://www.w3.org/2001/XMLSchema" xmlns:p="http://schemas.microsoft.com/office/2006/metadata/properties" xmlns:ns2="ec4b9c9f-d5d6-4730-b2fb-96782b5d0db0" xmlns:ns3="79662987-bd1f-4e6d-aa7c-8dd313e2a4cc" targetNamespace="http://schemas.microsoft.com/office/2006/metadata/properties" ma:root="true" ma:fieldsID="8c695246a74dc85f38813f287a26c4cd" ns2:_="" ns3:_="">
    <xsd:import namespace="ec4b9c9f-d5d6-4730-b2fb-96782b5d0db0"/>
    <xsd:import namespace="79662987-bd1f-4e6d-aa7c-8dd313e2a4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4b9c9f-d5d6-4730-b2fb-96782b5d0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f5ca14c-cf87-4ea6-a219-f445dd0619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62987-bd1f-4e6d-aa7c-8dd313e2a4c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526cd4-a062-4105-b212-fbfbe4b6eb6c}" ma:internalName="TaxCatchAll" ma:showField="CatchAllData" ma:web="79662987-bd1f-4e6d-aa7c-8dd313e2a4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2ABE4B-8882-4C73-81B2-24EC0A560779}"/>
</file>

<file path=customXml/itemProps2.xml><?xml version="1.0" encoding="utf-8"?>
<ds:datastoreItem xmlns:ds="http://schemas.openxmlformats.org/officeDocument/2006/customXml" ds:itemID="{D76A5BFA-B0D6-44C6-947E-0155B8B2F228}"/>
</file>

<file path=customXml/itemProps3.xml><?xml version="1.0" encoding="utf-8"?>
<ds:datastoreItem xmlns:ds="http://schemas.openxmlformats.org/officeDocument/2006/customXml" ds:itemID="{0DF8592E-81E4-4D6A-9D26-BA5FE735A2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Speczyk, Maxim</cp:lastModifiedBy>
  <cp:revision/>
  <dcterms:created xsi:type="dcterms:W3CDTF">2025-10-25T07:35:27Z</dcterms:created>
  <dcterms:modified xsi:type="dcterms:W3CDTF">2026-02-19T12:52:20Z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0x0101009783BB6F7F5F4249ADBF2BF278C8EDC2</vt:lpwstr>
  </property>
  <property fmtid="{D5CDD505-2E9C-101B-9397-08002B2CF9AE}" pid="3" name="MediaServiceImageTags">
    <vt:lpwstr/>
  </property>
</Properties>
</file>